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\Dropbox\LinearRationalWishart_Work\Code\ED\LinearRationalWishart\LinearRationalWishart_NewCode\wishart_processes\"/>
    </mc:Choice>
  </mc:AlternateContent>
  <xr:revisionPtr revIDLastSave="0" documentId="8_{9F92DAE8-880A-4E35-876E-78019B8F0075}" xr6:coauthVersionLast="47" xr6:coauthVersionMax="47" xr10:uidLastSave="{00000000-0000-0000-0000-000000000000}"/>
  <bookViews>
    <workbookView xWindow="28680" yWindow="-120" windowWidth="25440" windowHeight="15270" activeTab="1" xr2:uid="{3CF6C399-FDB7-4227-AE1E-133EABBF5AFF}"/>
  </bookViews>
  <sheets>
    <sheet name="MC" sheetId="1" r:id="rId1"/>
    <sheet name="Fourr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R3" i="1"/>
  <c r="W3" i="1" s="1"/>
  <c r="S3" i="1"/>
  <c r="M4" i="1"/>
  <c r="N4" i="1"/>
  <c r="U4" i="1" s="1"/>
  <c r="O4" i="1"/>
  <c r="P4" i="1"/>
  <c r="Q4" i="1"/>
  <c r="R4" i="1"/>
  <c r="S4" i="1"/>
  <c r="M5" i="1"/>
  <c r="N5" i="1"/>
  <c r="O5" i="1"/>
  <c r="P5" i="1"/>
  <c r="Q5" i="1"/>
  <c r="R5" i="1"/>
  <c r="S5" i="1"/>
  <c r="M6" i="1"/>
  <c r="N6" i="1"/>
  <c r="O6" i="1"/>
  <c r="P6" i="1"/>
  <c r="Q6" i="1"/>
  <c r="R6" i="1"/>
  <c r="S6" i="1"/>
  <c r="M7" i="1"/>
  <c r="N7" i="1"/>
  <c r="O7" i="1"/>
  <c r="U7" i="1" s="1"/>
  <c r="P7" i="1"/>
  <c r="Q7" i="1"/>
  <c r="V7" i="1" s="1"/>
  <c r="R7" i="1"/>
  <c r="S7" i="1"/>
  <c r="M8" i="1"/>
  <c r="N8" i="1"/>
  <c r="O8" i="1"/>
  <c r="P8" i="1"/>
  <c r="Q8" i="1"/>
  <c r="R8" i="1"/>
  <c r="S8" i="1"/>
  <c r="M9" i="1"/>
  <c r="N9" i="1"/>
  <c r="O9" i="1"/>
  <c r="P9" i="1"/>
  <c r="Q9" i="1"/>
  <c r="V9" i="1" s="1"/>
  <c r="R9" i="1"/>
  <c r="S9" i="1"/>
  <c r="M10" i="1"/>
  <c r="U10" i="1" s="1"/>
  <c r="N10" i="1"/>
  <c r="O10" i="1"/>
  <c r="P10" i="1"/>
  <c r="Q10" i="1"/>
  <c r="R10" i="1"/>
  <c r="S10" i="1"/>
  <c r="M11" i="1"/>
  <c r="U11" i="1" s="1"/>
  <c r="N11" i="1"/>
  <c r="O11" i="1"/>
  <c r="P11" i="1"/>
  <c r="Q11" i="1"/>
  <c r="R11" i="1"/>
  <c r="S11" i="1"/>
  <c r="M12" i="1"/>
  <c r="N12" i="1"/>
  <c r="U12" i="1" s="1"/>
  <c r="O12" i="1"/>
  <c r="P12" i="1"/>
  <c r="Q12" i="1"/>
  <c r="R12" i="1"/>
  <c r="S12" i="1"/>
  <c r="M13" i="1"/>
  <c r="N13" i="1"/>
  <c r="O13" i="1"/>
  <c r="P13" i="1"/>
  <c r="Q13" i="1"/>
  <c r="R13" i="1"/>
  <c r="S13" i="1"/>
  <c r="M14" i="1"/>
  <c r="N14" i="1"/>
  <c r="O14" i="1"/>
  <c r="P14" i="1"/>
  <c r="Q14" i="1"/>
  <c r="V14" i="1" s="1"/>
  <c r="R14" i="1"/>
  <c r="S14" i="1"/>
  <c r="M15" i="1"/>
  <c r="N15" i="1"/>
  <c r="U15" i="1" s="1"/>
  <c r="O15" i="1"/>
  <c r="P15" i="1"/>
  <c r="Q15" i="1"/>
  <c r="V15" i="1" s="1"/>
  <c r="R15" i="1"/>
  <c r="S15" i="1"/>
  <c r="M16" i="1"/>
  <c r="N16" i="1"/>
  <c r="O16" i="1"/>
  <c r="P16" i="1"/>
  <c r="Q16" i="1"/>
  <c r="R16" i="1"/>
  <c r="S16" i="1"/>
  <c r="M17" i="1"/>
  <c r="N17" i="1"/>
  <c r="O17" i="1"/>
  <c r="P17" i="1"/>
  <c r="Q17" i="1"/>
  <c r="V17" i="1" s="1"/>
  <c r="R17" i="1"/>
  <c r="S17" i="1"/>
  <c r="M18" i="1"/>
  <c r="U18" i="1" s="1"/>
  <c r="N18" i="1"/>
  <c r="O18" i="1"/>
  <c r="P18" i="1"/>
  <c r="Q18" i="1"/>
  <c r="R18" i="1"/>
  <c r="W18" i="1" s="1"/>
  <c r="S18" i="1"/>
  <c r="M19" i="1"/>
  <c r="U19" i="1" s="1"/>
  <c r="N19" i="1"/>
  <c r="O19" i="1"/>
  <c r="P19" i="1"/>
  <c r="Q19" i="1"/>
  <c r="R19" i="1"/>
  <c r="W19" i="1" s="1"/>
  <c r="S19" i="1"/>
  <c r="M20" i="1"/>
  <c r="N20" i="1"/>
  <c r="U20" i="1" s="1"/>
  <c r="O20" i="1"/>
  <c r="P20" i="1"/>
  <c r="Q20" i="1"/>
  <c r="R20" i="1"/>
  <c r="S20" i="1"/>
  <c r="M21" i="1"/>
  <c r="N21" i="1"/>
  <c r="O21" i="1"/>
  <c r="P21" i="1"/>
  <c r="Q21" i="1"/>
  <c r="R21" i="1"/>
  <c r="W21" i="1" s="1"/>
  <c r="S21" i="1"/>
  <c r="S2" i="1"/>
  <c r="R2" i="1"/>
  <c r="W2" i="1" s="1"/>
  <c r="Q2" i="1"/>
  <c r="V2" i="1" s="1"/>
  <c r="P2" i="1"/>
  <c r="O2" i="1"/>
  <c r="N2" i="1"/>
  <c r="M2" i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4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" i="1"/>
  <c r="U22" i="1"/>
  <c r="V21" i="1"/>
  <c r="U21" i="1"/>
  <c r="W20" i="1"/>
  <c r="V20" i="1"/>
  <c r="V19" i="1"/>
  <c r="V18" i="1"/>
  <c r="W17" i="1"/>
  <c r="U17" i="1"/>
  <c r="W16" i="1"/>
  <c r="V16" i="1"/>
  <c r="U16" i="1"/>
  <c r="W15" i="1"/>
  <c r="W14" i="1"/>
  <c r="U14" i="1"/>
  <c r="W13" i="1"/>
  <c r="V13" i="1"/>
  <c r="U13" i="1"/>
  <c r="W12" i="1"/>
  <c r="V12" i="1"/>
  <c r="W11" i="1"/>
  <c r="V11" i="1"/>
  <c r="W10" i="1"/>
  <c r="V10" i="1"/>
  <c r="W9" i="1"/>
  <c r="U9" i="1"/>
  <c r="W8" i="1"/>
  <c r="V8" i="1"/>
  <c r="U8" i="1"/>
  <c r="W7" i="1"/>
  <c r="W6" i="1"/>
  <c r="V6" i="1"/>
  <c r="U6" i="1"/>
  <c r="W5" i="1"/>
  <c r="V5" i="1"/>
  <c r="U5" i="1"/>
  <c r="W4" i="1"/>
  <c r="V4" i="1"/>
  <c r="V3" i="1"/>
  <c r="U3" i="1"/>
  <c r="U2" i="1" l="1"/>
</calcChain>
</file>

<file path=xl/sharedStrings.xml><?xml version="1.0" encoding="utf-8"?>
<sst xmlns="http://schemas.openxmlformats.org/spreadsheetml/2006/main" count="173" uniqueCount="20">
  <si>
    <t>dataDate</t>
  </si>
  <si>
    <t>expiry</t>
  </si>
  <si>
    <t>expiryMat</t>
  </si>
  <si>
    <t>vol</t>
  </si>
  <si>
    <t>strike</t>
  </si>
  <si>
    <t>marketVol</t>
  </si>
  <si>
    <t>modelVol</t>
  </si>
  <si>
    <t>marketPrice</t>
  </si>
  <si>
    <t>modelPrice</t>
  </si>
  <si>
    <t>callOrPut</t>
  </si>
  <si>
    <t>source</t>
  </si>
  <si>
    <t>call</t>
  </si>
  <si>
    <t>DummyDataSource</t>
  </si>
  <si>
    <t>put</t>
  </si>
  <si>
    <t>3Y</t>
  </si>
  <si>
    <t>4Y</t>
  </si>
  <si>
    <t>5Y</t>
  </si>
  <si>
    <t>7Y</t>
  </si>
  <si>
    <t xml:space="preserve"> End printing CurrencyPairDailyData Object </t>
  </si>
  <si>
    <t>============== Fx Option data 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</si>
</sst>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A6CB-D16F-4F2E-97D4-DB26A62985F6}">
  <dimension ref="A1:W22"/>
  <sheetViews>
    <sheetView workbookViewId="0">
      <selection activeCell="M2" sqref="M2:S21"/>
    </sheetView>
  </sheetViews>
  <sheetFormatPr defaultRowHeight="14.5" x14ac:dyDescent="0.35"/>
  <sheetData>
    <row r="1" spans="1:2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</row>
    <row r="2" spans="1:23" x14ac:dyDescent="0.35">
      <c r="A2" t="str">
        <f>C2&amp;D2&amp;G2&amp;F2</f>
        <v>3Y30.085651.38678</v>
      </c>
      <c r="B2" s="1">
        <v>45807</v>
      </c>
      <c r="C2" t="s">
        <v>14</v>
      </c>
      <c r="D2">
        <v>3</v>
      </c>
      <c r="E2">
        <v>8.5599999999999996E-2</v>
      </c>
      <c r="F2">
        <v>1.3867799999999999</v>
      </c>
      <c r="G2">
        <v>8.5650000000000004E-2</v>
      </c>
      <c r="H2">
        <v>0.01</v>
      </c>
      <c r="I2">
        <v>7.2870166015430501E-3</v>
      </c>
      <c r="J2">
        <v>0</v>
      </c>
      <c r="K2" t="s">
        <v>11</v>
      </c>
      <c r="L2" t="s">
        <v>12</v>
      </c>
      <c r="M2">
        <f>_xlfn.XLOOKUP(A2,Fourrier!A:A,Fourrier!E:E)</f>
        <v>8.5599999999999996E-2</v>
      </c>
      <c r="N2">
        <f>_xlfn.XLOOKUP(A2,Fourrier!A:A,Fourrier!F:F)</f>
        <v>1.3867799999999999</v>
      </c>
      <c r="O2">
        <f>_xlfn.XLOOKUP(A2,Fourrier!A:A,Fourrier!G:G)</f>
        <v>8.5650000000000004E-2</v>
      </c>
      <c r="P2">
        <f>_xlfn.XLOOKUP(A2,Fourrier!A:A,Fourrier!H:H)</f>
        <v>0.16243099999999999</v>
      </c>
      <c r="Q2">
        <f>_xlfn.XLOOKUP(A2,Fourrier!A:A,Fourrier!I:I)</f>
        <v>7.2870166015430501E-3</v>
      </c>
      <c r="R2">
        <f>_xlfn.XLOOKUP(A2,Fourrier!A:A,Fourrier!J:J)</f>
        <v>3.8566019908764501E-2</v>
      </c>
      <c r="S2" t="str">
        <f>_xlfn.XLOOKUP(A2,Fourrier!A:A,Fourrier!K:K)</f>
        <v>call</v>
      </c>
      <c r="T2" t="s">
        <v>12</v>
      </c>
      <c r="U2" t="b">
        <f t="shared" ref="U2:U22" si="0">AND(M2=E2,F2=N2,G2=O2)</f>
        <v>1</v>
      </c>
      <c r="V2">
        <f t="shared" ref="V2:W21" si="1">10000*(I2-Q2)</f>
        <v>0</v>
      </c>
      <c r="W2">
        <f t="shared" si="1"/>
        <v>-385.66019908764503</v>
      </c>
    </row>
    <row r="3" spans="1:23" x14ac:dyDescent="0.35">
      <c r="A3" t="str">
        <f t="shared" ref="A3:A22" si="2">C3&amp;D3&amp;G3&amp;F3</f>
        <v>3Y30.097150.938102</v>
      </c>
      <c r="B3" s="1">
        <v>45807</v>
      </c>
      <c r="C3" t="s">
        <v>14</v>
      </c>
      <c r="D3">
        <v>3</v>
      </c>
      <c r="E3">
        <v>9.7199999999999995E-2</v>
      </c>
      <c r="F3">
        <v>0.93810199999999999</v>
      </c>
      <c r="G3">
        <v>9.715E-2</v>
      </c>
      <c r="H3">
        <v>0.103314</v>
      </c>
      <c r="I3">
        <v>9.4460013583244993E-3</v>
      </c>
      <c r="J3">
        <v>1.6210753767848401E-2</v>
      </c>
      <c r="K3" t="s">
        <v>13</v>
      </c>
      <c r="L3" t="s">
        <v>12</v>
      </c>
      <c r="M3">
        <f>_xlfn.XLOOKUP(A3,Fourrier!A:A,Fourrier!E:E)</f>
        <v>9.7199999999999995E-2</v>
      </c>
      <c r="N3">
        <f>_xlfn.XLOOKUP(A3,Fourrier!A:A,Fourrier!F:F)</f>
        <v>0.93810199999999999</v>
      </c>
      <c r="O3">
        <f>_xlfn.XLOOKUP(A3,Fourrier!A:A,Fourrier!G:G)</f>
        <v>9.715E-2</v>
      </c>
      <c r="P3">
        <f>_xlfn.XLOOKUP(A3,Fourrier!A:A,Fourrier!H:H)</f>
        <v>0.01</v>
      </c>
      <c r="Q3">
        <f>_xlfn.XLOOKUP(A3,Fourrier!A:A,Fourrier!I:I)</f>
        <v>9.4460013583244993E-3</v>
      </c>
      <c r="R3">
        <f>_xlfn.XLOOKUP(A3,Fourrier!A:A,Fourrier!J:J)</f>
        <v>1E-8</v>
      </c>
      <c r="S3" t="str">
        <f>_xlfn.XLOOKUP(A3,Fourrier!A:A,Fourrier!K:K)</f>
        <v>put</v>
      </c>
      <c r="T3" t="s">
        <v>12</v>
      </c>
      <c r="U3" t="b">
        <f t="shared" si="0"/>
        <v>1</v>
      </c>
      <c r="V3">
        <f t="shared" si="1"/>
        <v>0</v>
      </c>
      <c r="W3">
        <f t="shared" si="1"/>
        <v>162.10743767848399</v>
      </c>
    </row>
    <row r="4" spans="1:23" x14ac:dyDescent="0.35">
      <c r="A4" t="str">
        <f t="shared" si="2"/>
        <v>3Y30.079151.253781</v>
      </c>
      <c r="B4" s="1">
        <v>45807</v>
      </c>
      <c r="C4" t="s">
        <v>14</v>
      </c>
      <c r="D4">
        <v>3</v>
      </c>
      <c r="E4">
        <v>7.9100000000000004E-2</v>
      </c>
      <c r="F4">
        <v>1.253781</v>
      </c>
      <c r="G4">
        <v>7.9149999999999998E-2</v>
      </c>
      <c r="H4">
        <v>0.01</v>
      </c>
      <c r="I4">
        <v>2.12246222216648E-2</v>
      </c>
      <c r="J4">
        <v>0</v>
      </c>
      <c r="K4" t="s">
        <v>11</v>
      </c>
      <c r="L4" t="s">
        <v>12</v>
      </c>
      <c r="M4">
        <f>_xlfn.XLOOKUP(A4,Fourrier!A:A,Fourrier!E:E)</f>
        <v>7.9100000000000004E-2</v>
      </c>
      <c r="N4">
        <f>_xlfn.XLOOKUP(A4,Fourrier!A:A,Fourrier!F:F)</f>
        <v>1.253781</v>
      </c>
      <c r="O4">
        <f>_xlfn.XLOOKUP(A4,Fourrier!A:A,Fourrier!G:G)</f>
        <v>7.9149999999999998E-2</v>
      </c>
      <c r="P4">
        <f>_xlfn.XLOOKUP(A4,Fourrier!A:A,Fourrier!H:H)</f>
        <v>0.128889</v>
      </c>
      <c r="Q4">
        <f>_xlfn.XLOOKUP(A4,Fourrier!A:A,Fourrier!I:I)</f>
        <v>2.12246222216648E-2</v>
      </c>
      <c r="R4">
        <f>_xlfn.XLOOKUP(A4,Fourrier!A:A,Fourrier!J:J)</f>
        <v>4.38851770999963E-2</v>
      </c>
      <c r="S4" t="str">
        <f>_xlfn.XLOOKUP(A4,Fourrier!A:A,Fourrier!K:K)</f>
        <v>call</v>
      </c>
      <c r="T4" t="s">
        <v>12</v>
      </c>
      <c r="U4" t="b">
        <f t="shared" si="0"/>
        <v>1</v>
      </c>
      <c r="V4">
        <f t="shared" si="1"/>
        <v>0</v>
      </c>
      <c r="W4">
        <f t="shared" si="1"/>
        <v>-438.85177099996298</v>
      </c>
    </row>
    <row r="5" spans="1:23" x14ac:dyDescent="0.35">
      <c r="A5" t="str">
        <f t="shared" si="2"/>
        <v>3Y30.084851.051899</v>
      </c>
      <c r="B5" s="1">
        <v>45807</v>
      </c>
      <c r="C5" t="s">
        <v>14</v>
      </c>
      <c r="D5">
        <v>3</v>
      </c>
      <c r="E5">
        <v>8.4900000000000003E-2</v>
      </c>
      <c r="F5">
        <v>1.0518989999999999</v>
      </c>
      <c r="G5">
        <v>8.4849999999999995E-2</v>
      </c>
      <c r="H5">
        <v>5.8824000000000001E-2</v>
      </c>
      <c r="I5">
        <v>2.6304123119012399E-2</v>
      </c>
      <c r="J5">
        <v>2.01788949002943E-2</v>
      </c>
      <c r="K5" t="s">
        <v>13</v>
      </c>
      <c r="L5" t="s">
        <v>12</v>
      </c>
      <c r="M5">
        <f>_xlfn.XLOOKUP(A5,Fourrier!A:A,Fourrier!E:E)</f>
        <v>8.4900000000000003E-2</v>
      </c>
      <c r="N5">
        <f>_xlfn.XLOOKUP(A5,Fourrier!A:A,Fourrier!F:F)</f>
        <v>1.0518989999999999</v>
      </c>
      <c r="O5">
        <f>_xlfn.XLOOKUP(A5,Fourrier!A:A,Fourrier!G:G)</f>
        <v>8.4849999999999995E-2</v>
      </c>
      <c r="P5">
        <f>_xlfn.XLOOKUP(A5,Fourrier!A:A,Fourrier!H:H)</f>
        <v>2.7215E-2</v>
      </c>
      <c r="Q5">
        <f>_xlfn.XLOOKUP(A5,Fourrier!A:A,Fourrier!I:I)</f>
        <v>2.6304123119012399E-2</v>
      </c>
      <c r="R5">
        <f>_xlfn.XLOOKUP(A5,Fourrier!A:A,Fourrier!J:J)</f>
        <v>3.36828528728583E-3</v>
      </c>
      <c r="S5" t="str">
        <f>_xlfn.XLOOKUP(A5,Fourrier!A:A,Fourrier!K:K)</f>
        <v>put</v>
      </c>
      <c r="T5" t="s">
        <v>12</v>
      </c>
      <c r="U5" t="b">
        <f t="shared" si="0"/>
        <v>1</v>
      </c>
      <c r="V5">
        <f t="shared" si="1"/>
        <v>0</v>
      </c>
      <c r="W5">
        <f t="shared" si="1"/>
        <v>168.10609613008472</v>
      </c>
    </row>
    <row r="6" spans="1:23" x14ac:dyDescent="0.35">
      <c r="A6" t="str">
        <f t="shared" si="2"/>
        <v>3Y30.07841.140376</v>
      </c>
      <c r="B6" s="1">
        <v>45807</v>
      </c>
      <c r="C6" t="s">
        <v>14</v>
      </c>
      <c r="D6">
        <v>3</v>
      </c>
      <c r="E6">
        <v>7.8399999999999997E-2</v>
      </c>
      <c r="F6">
        <v>1.1403760000000001</v>
      </c>
      <c r="G6">
        <v>7.8399999999999997E-2</v>
      </c>
      <c r="H6">
        <v>5.0899999999999999E-3</v>
      </c>
      <c r="I6">
        <v>5.5219949274180197E-2</v>
      </c>
      <c r="J6">
        <v>0</v>
      </c>
      <c r="K6" t="s">
        <v>11</v>
      </c>
      <c r="L6" t="s">
        <v>12</v>
      </c>
      <c r="M6">
        <f>_xlfn.XLOOKUP(A6,Fourrier!A:A,Fourrier!E:E)</f>
        <v>7.8399999999999997E-2</v>
      </c>
      <c r="N6">
        <f>_xlfn.XLOOKUP(A6,Fourrier!A:A,Fourrier!F:F)</f>
        <v>1.1403760000000001</v>
      </c>
      <c r="O6">
        <f>_xlfn.XLOOKUP(A6,Fourrier!A:A,Fourrier!G:G)</f>
        <v>7.8399999999999997E-2</v>
      </c>
      <c r="P6">
        <f>_xlfn.XLOOKUP(A6,Fourrier!A:A,Fourrier!H:H)</f>
        <v>8.8424000000000003E-2</v>
      </c>
      <c r="Q6">
        <f>_xlfn.XLOOKUP(A6,Fourrier!A:A,Fourrier!I:I)</f>
        <v>5.5219949274180197E-2</v>
      </c>
      <c r="R6">
        <f>_xlfn.XLOOKUP(A6,Fourrier!A:A,Fourrier!J:J)</f>
        <v>4.92995144058367E-2</v>
      </c>
      <c r="S6" t="str">
        <f>_xlfn.XLOOKUP(A6,Fourrier!A:A,Fourrier!K:K)</f>
        <v>call</v>
      </c>
      <c r="T6" t="s">
        <v>12</v>
      </c>
      <c r="U6" t="b">
        <f t="shared" si="0"/>
        <v>1</v>
      </c>
      <c r="V6">
        <f t="shared" si="1"/>
        <v>0</v>
      </c>
      <c r="W6">
        <f t="shared" si="1"/>
        <v>-492.99514405836698</v>
      </c>
    </row>
    <row r="7" spans="1:23" x14ac:dyDescent="0.35">
      <c r="A7" t="str">
        <f t="shared" si="2"/>
        <v>4Y40.08891.458946</v>
      </c>
      <c r="B7" s="1">
        <v>45807</v>
      </c>
      <c r="C7" t="s">
        <v>15</v>
      </c>
      <c r="D7">
        <v>4</v>
      </c>
      <c r="E7">
        <v>8.8900000000000007E-2</v>
      </c>
      <c r="F7">
        <v>1.4589460000000001</v>
      </c>
      <c r="G7">
        <v>8.8900000000000007E-2</v>
      </c>
      <c r="H7">
        <v>0.40048600000000001</v>
      </c>
      <c r="I7">
        <v>8.6747591964472896E-3</v>
      </c>
      <c r="J7">
        <v>0.222938180282408</v>
      </c>
      <c r="K7" t="s">
        <v>11</v>
      </c>
      <c r="L7" t="s">
        <v>12</v>
      </c>
      <c r="M7">
        <f>_xlfn.XLOOKUP(A7,Fourrier!A:A,Fourrier!E:E)</f>
        <v>8.8900000000000007E-2</v>
      </c>
      <c r="N7">
        <f>_xlfn.XLOOKUP(A7,Fourrier!A:A,Fourrier!F:F)</f>
        <v>1.4589460000000001</v>
      </c>
      <c r="O7">
        <f>_xlfn.XLOOKUP(A7,Fourrier!A:A,Fourrier!G:G)</f>
        <v>8.8900000000000007E-2</v>
      </c>
      <c r="P7">
        <f>_xlfn.XLOOKUP(A7,Fourrier!A:A,Fourrier!H:H)</f>
        <v>0.153698</v>
      </c>
      <c r="Q7">
        <f>_xlfn.XLOOKUP(A7,Fourrier!A:A,Fourrier!I:I)</f>
        <v>8.6747591964472896E-3</v>
      </c>
      <c r="R7">
        <f>_xlfn.XLOOKUP(A7,Fourrier!A:A,Fourrier!J:J)</f>
        <v>3.5789500432682801E-2</v>
      </c>
      <c r="S7" t="str">
        <f>_xlfn.XLOOKUP(A7,Fourrier!A:A,Fourrier!K:K)</f>
        <v>call</v>
      </c>
      <c r="T7" t="s">
        <v>12</v>
      </c>
      <c r="U7" t="b">
        <f t="shared" si="0"/>
        <v>1</v>
      </c>
      <c r="V7">
        <f t="shared" si="1"/>
        <v>0</v>
      </c>
      <c r="W7">
        <f t="shared" si="1"/>
        <v>1871.4867984972518</v>
      </c>
    </row>
    <row r="8" spans="1:23" x14ac:dyDescent="0.35">
      <c r="A8" t="str">
        <f t="shared" si="2"/>
        <v>4Y40.09930.921907</v>
      </c>
      <c r="B8" s="1">
        <v>45807</v>
      </c>
      <c r="C8" t="s">
        <v>15</v>
      </c>
      <c r="D8">
        <v>4</v>
      </c>
      <c r="E8">
        <v>9.9299999999999999E-2</v>
      </c>
      <c r="F8">
        <v>0.92190700000000003</v>
      </c>
      <c r="G8">
        <v>9.9299999999999999E-2</v>
      </c>
      <c r="H8">
        <v>0.41617999999999999</v>
      </c>
      <c r="I8">
        <v>1.1365009890059501E-2</v>
      </c>
      <c r="J8">
        <v>0.218646414885179</v>
      </c>
      <c r="K8" t="s">
        <v>13</v>
      </c>
      <c r="L8" t="s">
        <v>12</v>
      </c>
      <c r="M8">
        <f>_xlfn.XLOOKUP(A8,Fourrier!A:A,Fourrier!E:E)</f>
        <v>9.9299999999999999E-2</v>
      </c>
      <c r="N8">
        <f>_xlfn.XLOOKUP(A8,Fourrier!A:A,Fourrier!F:F)</f>
        <v>0.92190700000000003</v>
      </c>
      <c r="O8">
        <f>_xlfn.XLOOKUP(A8,Fourrier!A:A,Fourrier!G:G)</f>
        <v>9.9299999999999999E-2</v>
      </c>
      <c r="P8">
        <f>_xlfn.XLOOKUP(A8,Fourrier!A:A,Fourrier!H:H)</f>
        <v>0.01</v>
      </c>
      <c r="Q8">
        <f>_xlfn.XLOOKUP(A8,Fourrier!A:A,Fourrier!I:I)</f>
        <v>1.1365009890059501E-2</v>
      </c>
      <c r="R8">
        <f>_xlfn.XLOOKUP(A8,Fourrier!A:A,Fourrier!J:J)</f>
        <v>1E-8</v>
      </c>
      <c r="S8" t="str">
        <f>_xlfn.XLOOKUP(A8,Fourrier!A:A,Fourrier!K:K)</f>
        <v>put</v>
      </c>
      <c r="T8" t="s">
        <v>12</v>
      </c>
      <c r="U8" t="b">
        <f t="shared" si="0"/>
        <v>1</v>
      </c>
      <c r="V8">
        <f t="shared" si="1"/>
        <v>0</v>
      </c>
      <c r="W8">
        <f t="shared" si="1"/>
        <v>2186.4640488517898</v>
      </c>
    </row>
    <row r="9" spans="1:23" x14ac:dyDescent="0.35">
      <c r="A9" t="str">
        <f t="shared" si="2"/>
        <v>4Y40.081651.290404</v>
      </c>
      <c r="B9" s="1">
        <v>45807</v>
      </c>
      <c r="C9" t="s">
        <v>15</v>
      </c>
      <c r="D9">
        <v>4</v>
      </c>
      <c r="E9">
        <v>8.1699999999999995E-2</v>
      </c>
      <c r="F9">
        <v>1.2904040000000001</v>
      </c>
      <c r="G9">
        <v>8.165E-2</v>
      </c>
      <c r="H9">
        <v>0.399862</v>
      </c>
      <c r="I9">
        <v>2.51626898656062E-2</v>
      </c>
      <c r="J9">
        <v>0.26092428198642997</v>
      </c>
      <c r="K9" t="s">
        <v>11</v>
      </c>
      <c r="L9" t="s">
        <v>12</v>
      </c>
      <c r="M9">
        <f>_xlfn.XLOOKUP(A9,Fourrier!A:A,Fourrier!E:E)</f>
        <v>8.1699999999999995E-2</v>
      </c>
      <c r="N9">
        <f>_xlfn.XLOOKUP(A9,Fourrier!A:A,Fourrier!F:F)</f>
        <v>1.2904040000000001</v>
      </c>
      <c r="O9">
        <f>_xlfn.XLOOKUP(A9,Fourrier!A:A,Fourrier!G:G)</f>
        <v>8.165E-2</v>
      </c>
      <c r="P9">
        <f>_xlfn.XLOOKUP(A9,Fourrier!A:A,Fourrier!H:H)</f>
        <v>0.120722</v>
      </c>
      <c r="Q9">
        <f>_xlfn.XLOOKUP(A9,Fourrier!A:A,Fourrier!I:I)</f>
        <v>2.51626898656062E-2</v>
      </c>
      <c r="R9">
        <f>_xlfn.XLOOKUP(A9,Fourrier!A:A,Fourrier!J:J)</f>
        <v>4.1987204191680297E-2</v>
      </c>
      <c r="S9" t="str">
        <f>_xlfn.XLOOKUP(A9,Fourrier!A:A,Fourrier!K:K)</f>
        <v>call</v>
      </c>
      <c r="T9" t="s">
        <v>12</v>
      </c>
      <c r="U9" t="b">
        <f t="shared" si="0"/>
        <v>1</v>
      </c>
      <c r="V9">
        <f t="shared" si="1"/>
        <v>0</v>
      </c>
      <c r="W9">
        <f t="shared" si="1"/>
        <v>2189.3707779474971</v>
      </c>
    </row>
    <row r="10" spans="1:23" x14ac:dyDescent="0.35">
      <c r="A10" t="str">
        <f t="shared" si="2"/>
        <v>4Y40.086751.055212</v>
      </c>
      <c r="B10" s="1">
        <v>45807</v>
      </c>
      <c r="C10" t="s">
        <v>15</v>
      </c>
      <c r="D10">
        <v>4</v>
      </c>
      <c r="E10">
        <v>8.6699999999999999E-2</v>
      </c>
      <c r="F10">
        <v>1.055212</v>
      </c>
      <c r="G10">
        <v>8.6749999999999994E-2</v>
      </c>
      <c r="H10">
        <v>0.40424300000000002</v>
      </c>
      <c r="I10">
        <v>3.1788777478135903E-2</v>
      </c>
      <c r="J10">
        <v>0.28353402045546899</v>
      </c>
      <c r="K10" t="s">
        <v>13</v>
      </c>
      <c r="L10" t="s">
        <v>12</v>
      </c>
      <c r="M10">
        <f>_xlfn.XLOOKUP(A10,Fourrier!A:A,Fourrier!E:E)</f>
        <v>8.6699999999999999E-2</v>
      </c>
      <c r="N10">
        <f>_xlfn.XLOOKUP(A10,Fourrier!A:A,Fourrier!F:F)</f>
        <v>1.055212</v>
      </c>
      <c r="O10">
        <f>_xlfn.XLOOKUP(A10,Fourrier!A:A,Fourrier!G:G)</f>
        <v>8.6749999999999994E-2</v>
      </c>
      <c r="P10">
        <f>_xlfn.XLOOKUP(A10,Fourrier!A:A,Fourrier!H:H)</f>
        <v>2.6768E-2</v>
      </c>
      <c r="Q10">
        <f>_xlfn.XLOOKUP(A10,Fourrier!A:A,Fourrier!I:I)</f>
        <v>3.1788777478135903E-2</v>
      </c>
      <c r="R10">
        <f>_xlfn.XLOOKUP(A10,Fourrier!A:A,Fourrier!J:J)</f>
        <v>4.9792110879078796E-3</v>
      </c>
      <c r="S10" t="str">
        <f>_xlfn.XLOOKUP(A10,Fourrier!A:A,Fourrier!K:K)</f>
        <v>put</v>
      </c>
      <c r="T10" t="s">
        <v>12</v>
      </c>
      <c r="U10" t="b">
        <f t="shared" si="0"/>
        <v>1</v>
      </c>
      <c r="V10">
        <f t="shared" si="1"/>
        <v>0</v>
      </c>
      <c r="W10">
        <f t="shared" si="1"/>
        <v>2785.5480936756112</v>
      </c>
    </row>
    <row r="11" spans="1:23" x14ac:dyDescent="0.35">
      <c r="A11" t="str">
        <f t="shared" si="2"/>
        <v>4Y40.08051.153994</v>
      </c>
      <c r="B11" s="1">
        <v>45807</v>
      </c>
      <c r="C11" t="s">
        <v>15</v>
      </c>
      <c r="D11">
        <v>4</v>
      </c>
      <c r="E11">
        <v>8.0500000000000002E-2</v>
      </c>
      <c r="F11">
        <v>1.153994</v>
      </c>
      <c r="G11">
        <v>8.0500000000000002E-2</v>
      </c>
      <c r="H11">
        <v>0.40110600000000002</v>
      </c>
      <c r="I11">
        <v>6.3829123712797503E-2</v>
      </c>
      <c r="J11">
        <v>0.29905751869963598</v>
      </c>
      <c r="K11" t="s">
        <v>11</v>
      </c>
      <c r="L11" t="s">
        <v>12</v>
      </c>
      <c r="M11">
        <f>_xlfn.XLOOKUP(A11,Fourrier!A:A,Fourrier!E:E)</f>
        <v>8.0500000000000002E-2</v>
      </c>
      <c r="N11">
        <f>_xlfn.XLOOKUP(A11,Fourrier!A:A,Fourrier!F:F)</f>
        <v>1.153994</v>
      </c>
      <c r="O11">
        <f>_xlfn.XLOOKUP(A11,Fourrier!A:A,Fourrier!G:G)</f>
        <v>8.0500000000000002E-2</v>
      </c>
      <c r="P11">
        <f>_xlfn.XLOOKUP(A11,Fourrier!A:A,Fourrier!H:H)</f>
        <v>8.1560999999999995E-2</v>
      </c>
      <c r="Q11">
        <f>_xlfn.XLOOKUP(A11,Fourrier!A:A,Fourrier!I:I)</f>
        <v>6.3829123712797503E-2</v>
      </c>
      <c r="R11">
        <f>_xlfn.XLOOKUP(A11,Fourrier!A:A,Fourrier!J:J)</f>
        <v>4.8174388377929603E-2</v>
      </c>
      <c r="S11" t="str">
        <f>_xlfn.XLOOKUP(A11,Fourrier!A:A,Fourrier!K:K)</f>
        <v>call</v>
      </c>
      <c r="T11" t="s">
        <v>12</v>
      </c>
      <c r="U11" t="b">
        <f t="shared" si="0"/>
        <v>1</v>
      </c>
      <c r="V11">
        <f t="shared" si="1"/>
        <v>0</v>
      </c>
      <c r="W11">
        <f t="shared" si="1"/>
        <v>2508.831303217064</v>
      </c>
    </row>
    <row r="12" spans="1:23" x14ac:dyDescent="0.35">
      <c r="A12" t="str">
        <f t="shared" si="2"/>
        <v>5Y50.09041.522631</v>
      </c>
      <c r="B12" s="1">
        <v>45807</v>
      </c>
      <c r="C12" t="s">
        <v>16</v>
      </c>
      <c r="D12">
        <v>5</v>
      </c>
      <c r="E12">
        <v>9.0399999999999994E-2</v>
      </c>
      <c r="F12">
        <v>1.5226310000000001</v>
      </c>
      <c r="G12">
        <v>9.0399999999999994E-2</v>
      </c>
      <c r="H12">
        <v>0.52838300000000005</v>
      </c>
      <c r="I12">
        <v>9.8189263600577895E-3</v>
      </c>
      <c r="J12">
        <v>0.35080560426888802</v>
      </c>
      <c r="K12" t="s">
        <v>11</v>
      </c>
      <c r="L12" t="s">
        <v>12</v>
      </c>
      <c r="M12">
        <f>_xlfn.XLOOKUP(A12,Fourrier!A:A,Fourrier!E:E)</f>
        <v>9.0399999999999994E-2</v>
      </c>
      <c r="N12">
        <f>_xlfn.XLOOKUP(A12,Fourrier!A:A,Fourrier!F:F)</f>
        <v>1.5226310000000001</v>
      </c>
      <c r="O12">
        <f>_xlfn.XLOOKUP(A12,Fourrier!A:A,Fourrier!G:G)</f>
        <v>9.0399999999999994E-2</v>
      </c>
      <c r="P12">
        <f>_xlfn.XLOOKUP(A12,Fourrier!A:A,Fourrier!H:H)</f>
        <v>0.18008299999999999</v>
      </c>
      <c r="Q12">
        <f>_xlfn.XLOOKUP(A12,Fourrier!A:A,Fourrier!I:I)</f>
        <v>9.8189263600577895E-3</v>
      </c>
      <c r="R12">
        <f>_xlfn.XLOOKUP(A12,Fourrier!A:A,Fourrier!J:J)</f>
        <v>5.6219185201049099E-2</v>
      </c>
      <c r="S12" t="str">
        <f>_xlfn.XLOOKUP(A12,Fourrier!A:A,Fourrier!K:K)</f>
        <v>call</v>
      </c>
      <c r="T12" t="s">
        <v>12</v>
      </c>
      <c r="U12" t="b">
        <f t="shared" si="0"/>
        <v>1</v>
      </c>
      <c r="V12">
        <f t="shared" si="1"/>
        <v>0</v>
      </c>
      <c r="W12">
        <f t="shared" si="1"/>
        <v>2945.8641906783887</v>
      </c>
    </row>
    <row r="13" spans="1:23" x14ac:dyDescent="0.35">
      <c r="A13" t="str">
        <f t="shared" si="2"/>
        <v>5Y50.10060.910865</v>
      </c>
      <c r="B13" s="1">
        <v>45807</v>
      </c>
      <c r="C13" t="s">
        <v>16</v>
      </c>
      <c r="D13">
        <v>5</v>
      </c>
      <c r="E13">
        <v>0.10059999999999999</v>
      </c>
      <c r="F13">
        <v>0.91086500000000004</v>
      </c>
      <c r="G13">
        <v>0.10059999999999999</v>
      </c>
      <c r="H13">
        <v>0.62067600000000001</v>
      </c>
      <c r="I13">
        <v>1.31070324680417E-2</v>
      </c>
      <c r="J13">
        <v>0.37236496014392001</v>
      </c>
      <c r="K13" t="s">
        <v>13</v>
      </c>
      <c r="L13" t="s">
        <v>12</v>
      </c>
      <c r="M13">
        <f>_xlfn.XLOOKUP(A13,Fourrier!A:A,Fourrier!E:E)</f>
        <v>0.10059999999999999</v>
      </c>
      <c r="N13">
        <f>_xlfn.XLOOKUP(A13,Fourrier!A:A,Fourrier!F:F)</f>
        <v>0.91086500000000004</v>
      </c>
      <c r="O13">
        <f>_xlfn.XLOOKUP(A13,Fourrier!A:A,Fourrier!G:G)</f>
        <v>0.10059999999999999</v>
      </c>
      <c r="P13">
        <f>_xlfn.XLOOKUP(A13,Fourrier!A:A,Fourrier!H:H)</f>
        <v>0.01</v>
      </c>
      <c r="Q13">
        <f>_xlfn.XLOOKUP(A13,Fourrier!A:A,Fourrier!I:I)</f>
        <v>1.31070324680417E-2</v>
      </c>
      <c r="R13">
        <f>_xlfn.XLOOKUP(A13,Fourrier!A:A,Fourrier!J:J)</f>
        <v>1E-8</v>
      </c>
      <c r="S13" t="str">
        <f>_xlfn.XLOOKUP(A13,Fourrier!A:A,Fourrier!K:K)</f>
        <v>put</v>
      </c>
      <c r="T13" t="s">
        <v>12</v>
      </c>
      <c r="U13" t="b">
        <f t="shared" si="0"/>
        <v>1</v>
      </c>
      <c r="V13">
        <f t="shared" si="1"/>
        <v>0</v>
      </c>
      <c r="W13">
        <f t="shared" si="1"/>
        <v>3723.6495014392003</v>
      </c>
    </row>
    <row r="14" spans="1:23" x14ac:dyDescent="0.35">
      <c r="A14" t="str">
        <f t="shared" si="2"/>
        <v>5Y50.082951.322376</v>
      </c>
      <c r="B14" s="1">
        <v>45807</v>
      </c>
      <c r="C14" t="s">
        <v>16</v>
      </c>
      <c r="D14">
        <v>5</v>
      </c>
      <c r="E14">
        <v>8.2900000000000001E-2</v>
      </c>
      <c r="F14">
        <v>1.322376</v>
      </c>
      <c r="G14">
        <v>8.2949999999999996E-2</v>
      </c>
      <c r="H14">
        <v>0.54104099999999999</v>
      </c>
      <c r="I14">
        <v>2.8515367579750501E-2</v>
      </c>
      <c r="J14">
        <v>0.39818383629026399</v>
      </c>
      <c r="K14" t="s">
        <v>11</v>
      </c>
      <c r="L14" t="s">
        <v>12</v>
      </c>
      <c r="M14">
        <f>_xlfn.XLOOKUP(A14,Fourrier!A:A,Fourrier!E:E)</f>
        <v>8.2900000000000001E-2</v>
      </c>
      <c r="N14">
        <f>_xlfn.XLOOKUP(A14,Fourrier!A:A,Fourrier!F:F)</f>
        <v>1.322376</v>
      </c>
      <c r="O14">
        <f>_xlfn.XLOOKUP(A14,Fourrier!A:A,Fourrier!G:G)</f>
        <v>8.2949999999999996E-2</v>
      </c>
      <c r="P14">
        <f>_xlfn.XLOOKUP(A14,Fourrier!A:A,Fourrier!H:H)</f>
        <v>0.14611399999999999</v>
      </c>
      <c r="Q14">
        <f>_xlfn.XLOOKUP(A14,Fourrier!A:A,Fourrier!I:I)</f>
        <v>2.8515367579750501E-2</v>
      </c>
      <c r="R14">
        <f>_xlfn.XLOOKUP(A14,Fourrier!A:A,Fourrier!J:J)</f>
        <v>6.4702838902372301E-2</v>
      </c>
      <c r="S14" t="str">
        <f>_xlfn.XLOOKUP(A14,Fourrier!A:A,Fourrier!K:K)</f>
        <v>call</v>
      </c>
      <c r="T14" t="s">
        <v>12</v>
      </c>
      <c r="U14" t="b">
        <f t="shared" si="0"/>
        <v>1</v>
      </c>
      <c r="V14">
        <f t="shared" si="1"/>
        <v>0</v>
      </c>
      <c r="W14">
        <f t="shared" si="1"/>
        <v>3334.8099738789174</v>
      </c>
    </row>
    <row r="15" spans="1:23" x14ac:dyDescent="0.35">
      <c r="A15" t="str">
        <f t="shared" si="2"/>
        <v>5Y50.088051.061389</v>
      </c>
      <c r="B15" s="1">
        <v>45807</v>
      </c>
      <c r="C15" t="s">
        <v>16</v>
      </c>
      <c r="D15">
        <v>5</v>
      </c>
      <c r="E15">
        <v>8.7999999999999995E-2</v>
      </c>
      <c r="F15">
        <v>1.0613889999999999</v>
      </c>
      <c r="G15">
        <v>8.8050000000000003E-2</v>
      </c>
      <c r="H15">
        <v>0.57611599999999996</v>
      </c>
      <c r="I15">
        <v>3.6899990246605299E-2</v>
      </c>
      <c r="J15">
        <v>0.43860324972866999</v>
      </c>
      <c r="K15" t="s">
        <v>13</v>
      </c>
      <c r="L15" t="s">
        <v>12</v>
      </c>
      <c r="M15">
        <f>_xlfn.XLOOKUP(A15,Fourrier!A:A,Fourrier!E:E)</f>
        <v>8.7999999999999995E-2</v>
      </c>
      <c r="N15">
        <f>_xlfn.XLOOKUP(A15,Fourrier!A:A,Fourrier!F:F)</f>
        <v>1.0613889999999999</v>
      </c>
      <c r="O15">
        <f>_xlfn.XLOOKUP(A15,Fourrier!A:A,Fourrier!G:G)</f>
        <v>8.8050000000000003E-2</v>
      </c>
      <c r="P15">
        <f>_xlfn.XLOOKUP(A15,Fourrier!A:A,Fourrier!H:H)</f>
        <v>3.0707000000000002E-2</v>
      </c>
      <c r="Q15">
        <f>_xlfn.XLOOKUP(A15,Fourrier!A:A,Fourrier!I:I)</f>
        <v>3.6899990246605299E-2</v>
      </c>
      <c r="R15">
        <f>_xlfn.XLOOKUP(A15,Fourrier!A:A,Fourrier!J:J)</f>
        <v>1.02098121793183E-2</v>
      </c>
      <c r="S15" t="str">
        <f>_xlfn.XLOOKUP(A15,Fourrier!A:A,Fourrier!K:K)</f>
        <v>put</v>
      </c>
      <c r="T15" t="s">
        <v>12</v>
      </c>
      <c r="U15" t="b">
        <f t="shared" si="0"/>
        <v>1</v>
      </c>
      <c r="V15">
        <f t="shared" si="1"/>
        <v>0</v>
      </c>
      <c r="W15">
        <f t="shared" si="1"/>
        <v>4283.9343754935162</v>
      </c>
    </row>
    <row r="16" spans="1:23" x14ac:dyDescent="0.35">
      <c r="A16" t="str">
        <f t="shared" si="2"/>
        <v>5Y50.08171.167101</v>
      </c>
      <c r="B16" s="1">
        <v>45807</v>
      </c>
      <c r="C16" t="s">
        <v>16</v>
      </c>
      <c r="D16">
        <v>5</v>
      </c>
      <c r="E16">
        <v>8.1699999999999995E-2</v>
      </c>
      <c r="F16">
        <v>1.1671009999999999</v>
      </c>
      <c r="G16">
        <v>8.1699999999999995E-2</v>
      </c>
      <c r="H16">
        <v>0.55808999999999997</v>
      </c>
      <c r="I16">
        <v>7.0517283434861397E-2</v>
      </c>
      <c r="J16">
        <v>0.44395943870052901</v>
      </c>
      <c r="K16" t="s">
        <v>11</v>
      </c>
      <c r="L16" t="s">
        <v>12</v>
      </c>
      <c r="M16">
        <f>_xlfn.XLOOKUP(A16,Fourrier!A:A,Fourrier!E:E)</f>
        <v>8.1699999999999995E-2</v>
      </c>
      <c r="N16">
        <f>_xlfn.XLOOKUP(A16,Fourrier!A:A,Fourrier!F:F)</f>
        <v>1.1671009999999999</v>
      </c>
      <c r="O16">
        <f>_xlfn.XLOOKUP(A16,Fourrier!A:A,Fourrier!G:G)</f>
        <v>8.1699999999999995E-2</v>
      </c>
      <c r="P16">
        <f>_xlfn.XLOOKUP(A16,Fourrier!A:A,Fourrier!H:H)</f>
        <v>7.7724000000000001E-2</v>
      </c>
      <c r="Q16">
        <f>_xlfn.XLOOKUP(A16,Fourrier!A:A,Fourrier!I:I)</f>
        <v>7.0517283434861397E-2</v>
      </c>
      <c r="R16">
        <f>_xlfn.XLOOKUP(A16,Fourrier!A:A,Fourrier!J:J)</f>
        <v>4.7107506382178102E-2</v>
      </c>
      <c r="S16" t="str">
        <f>_xlfn.XLOOKUP(A16,Fourrier!A:A,Fourrier!K:K)</f>
        <v>call</v>
      </c>
      <c r="T16" t="s">
        <v>12</v>
      </c>
      <c r="U16" t="b">
        <f t="shared" si="0"/>
        <v>1</v>
      </c>
      <c r="V16">
        <f t="shared" si="1"/>
        <v>0</v>
      </c>
      <c r="W16">
        <f t="shared" si="1"/>
        <v>3968.5193231835092</v>
      </c>
    </row>
    <row r="17" spans="1:23" x14ac:dyDescent="0.35">
      <c r="A17" t="str">
        <f t="shared" si="2"/>
        <v>7Y70.09051.628255</v>
      </c>
      <c r="B17" s="1">
        <v>45807</v>
      </c>
      <c r="C17" t="s">
        <v>17</v>
      </c>
      <c r="D17">
        <v>7</v>
      </c>
      <c r="E17">
        <v>9.0499999999999997E-2</v>
      </c>
      <c r="F17">
        <v>1.628255</v>
      </c>
      <c r="G17">
        <v>9.0499999999999997E-2</v>
      </c>
      <c r="H17">
        <v>0.65180199999999999</v>
      </c>
      <c r="I17">
        <v>1.1588844995531001E-2</v>
      </c>
      <c r="J17">
        <v>0.49459404585309702</v>
      </c>
      <c r="K17" t="s">
        <v>11</v>
      </c>
      <c r="L17" t="s">
        <v>12</v>
      </c>
      <c r="M17">
        <f>_xlfn.XLOOKUP(A17,Fourrier!A:A,Fourrier!E:E)</f>
        <v>9.0499999999999997E-2</v>
      </c>
      <c r="N17">
        <f>_xlfn.XLOOKUP(A17,Fourrier!A:A,Fourrier!F:F)</f>
        <v>1.628255</v>
      </c>
      <c r="O17">
        <f>_xlfn.XLOOKUP(A17,Fourrier!A:A,Fourrier!G:G)</f>
        <v>9.0499999999999997E-2</v>
      </c>
      <c r="P17">
        <f>_xlfn.XLOOKUP(A17,Fourrier!A:A,Fourrier!H:H)</f>
        <v>0.16656099999999999</v>
      </c>
      <c r="Q17">
        <f>_xlfn.XLOOKUP(A17,Fourrier!A:A,Fourrier!I:I)</f>
        <v>1.1588844995531001E-2</v>
      </c>
      <c r="R17">
        <f>_xlfn.XLOOKUP(A17,Fourrier!A:A,Fourrier!J:J)</f>
        <v>5.12807215483072E-2</v>
      </c>
      <c r="S17" t="str">
        <f>_xlfn.XLOOKUP(A17,Fourrier!A:A,Fourrier!K:K)</f>
        <v>call</v>
      </c>
      <c r="T17" t="s">
        <v>12</v>
      </c>
      <c r="U17" t="b">
        <f t="shared" si="0"/>
        <v>1</v>
      </c>
      <c r="V17">
        <f t="shared" si="1"/>
        <v>0</v>
      </c>
      <c r="W17">
        <f t="shared" si="1"/>
        <v>4433.1332430478978</v>
      </c>
    </row>
    <row r="18" spans="1:23" x14ac:dyDescent="0.35">
      <c r="A18" t="str">
        <f t="shared" si="2"/>
        <v>7Y70.09850.906698</v>
      </c>
      <c r="B18" s="1">
        <v>45807</v>
      </c>
      <c r="C18" t="s">
        <v>17</v>
      </c>
      <c r="D18">
        <v>7</v>
      </c>
      <c r="E18">
        <v>9.8500000000000004E-2</v>
      </c>
      <c r="F18">
        <v>0.906698</v>
      </c>
      <c r="G18">
        <v>9.8500000000000004E-2</v>
      </c>
      <c r="H18">
        <v>0.94237700000000002</v>
      </c>
      <c r="I18">
        <v>1.56417041716191E-2</v>
      </c>
      <c r="J18">
        <v>0.57989437678867295</v>
      </c>
      <c r="K18" t="s">
        <v>13</v>
      </c>
      <c r="L18" t="s">
        <v>12</v>
      </c>
      <c r="M18">
        <f>_xlfn.XLOOKUP(A18,Fourrier!A:A,Fourrier!E:E)</f>
        <v>9.8500000000000004E-2</v>
      </c>
      <c r="N18">
        <f>_xlfn.XLOOKUP(A18,Fourrier!A:A,Fourrier!F:F)</f>
        <v>0.906698</v>
      </c>
      <c r="O18">
        <f>_xlfn.XLOOKUP(A18,Fourrier!A:A,Fourrier!G:G)</f>
        <v>9.8500000000000004E-2</v>
      </c>
      <c r="P18">
        <f>_xlfn.XLOOKUP(A18,Fourrier!A:A,Fourrier!H:H)</f>
        <v>0.01</v>
      </c>
      <c r="Q18">
        <f>_xlfn.XLOOKUP(A18,Fourrier!A:A,Fourrier!I:I)</f>
        <v>1.56417041716191E-2</v>
      </c>
      <c r="R18">
        <f>_xlfn.XLOOKUP(A18,Fourrier!A:A,Fourrier!J:J)</f>
        <v>1E-8</v>
      </c>
      <c r="S18" t="str">
        <f>_xlfn.XLOOKUP(A18,Fourrier!A:A,Fourrier!K:K)</f>
        <v>put</v>
      </c>
      <c r="T18" t="s">
        <v>12</v>
      </c>
      <c r="U18" t="b">
        <f t="shared" si="0"/>
        <v>1</v>
      </c>
      <c r="V18">
        <f t="shared" si="1"/>
        <v>0</v>
      </c>
      <c r="W18">
        <f t="shared" si="1"/>
        <v>5798.9436678867287</v>
      </c>
    </row>
    <row r="19" spans="1:23" x14ac:dyDescent="0.35">
      <c r="A19" t="str">
        <f t="shared" si="2"/>
        <v>7Y70.08391.375826</v>
      </c>
      <c r="B19" s="1">
        <v>45807</v>
      </c>
      <c r="C19" t="s">
        <v>17</v>
      </c>
      <c r="D19">
        <v>7</v>
      </c>
      <c r="E19">
        <v>8.3900000000000002E-2</v>
      </c>
      <c r="F19">
        <v>1.375826</v>
      </c>
      <c r="G19">
        <v>8.3900000000000002E-2</v>
      </c>
      <c r="H19">
        <v>0.703932</v>
      </c>
      <c r="I19">
        <v>3.4140679661481203E-2</v>
      </c>
      <c r="J19">
        <v>0.56384222671570905</v>
      </c>
      <c r="K19" t="s">
        <v>11</v>
      </c>
      <c r="L19" t="s">
        <v>12</v>
      </c>
      <c r="M19">
        <f>_xlfn.XLOOKUP(A19,Fourrier!A:A,Fourrier!E:E)</f>
        <v>8.3900000000000002E-2</v>
      </c>
      <c r="N19">
        <f>_xlfn.XLOOKUP(A19,Fourrier!A:A,Fourrier!F:F)</f>
        <v>1.375826</v>
      </c>
      <c r="O19">
        <f>_xlfn.XLOOKUP(A19,Fourrier!A:A,Fourrier!G:G)</f>
        <v>8.3900000000000002E-2</v>
      </c>
      <c r="P19">
        <f>_xlfn.XLOOKUP(A19,Fourrier!A:A,Fourrier!H:H)</f>
        <v>0.13489999999999999</v>
      </c>
      <c r="Q19">
        <f>_xlfn.XLOOKUP(A19,Fourrier!A:A,Fourrier!I:I)</f>
        <v>3.4140679661481203E-2</v>
      </c>
      <c r="R19">
        <f>_xlfn.XLOOKUP(A19,Fourrier!A:A,Fourrier!J:J)</f>
        <v>6.08125900736032E-2</v>
      </c>
      <c r="S19" t="str">
        <f>_xlfn.XLOOKUP(A19,Fourrier!A:A,Fourrier!K:K)</f>
        <v>call</v>
      </c>
      <c r="T19" t="s">
        <v>12</v>
      </c>
      <c r="U19" t="b">
        <f t="shared" si="0"/>
        <v>1</v>
      </c>
      <c r="V19">
        <f t="shared" si="1"/>
        <v>0</v>
      </c>
      <c r="W19">
        <f t="shared" si="1"/>
        <v>5030.2963664210583</v>
      </c>
    </row>
    <row r="20" spans="1:23" x14ac:dyDescent="0.35">
      <c r="A20" t="str">
        <f t="shared" si="2"/>
        <v>7Y70.08851.081606</v>
      </c>
      <c r="B20" s="1">
        <v>45807</v>
      </c>
      <c r="C20" t="s">
        <v>17</v>
      </c>
      <c r="D20">
        <v>7</v>
      </c>
      <c r="E20">
        <v>8.8499999999999995E-2</v>
      </c>
      <c r="F20">
        <v>1.0816060000000001</v>
      </c>
      <c r="G20">
        <v>8.8499999999999995E-2</v>
      </c>
      <c r="H20">
        <v>0.81234399999999996</v>
      </c>
      <c r="I20">
        <v>4.5788138657746703E-2</v>
      </c>
      <c r="J20">
        <v>0.64525619390114397</v>
      </c>
      <c r="K20" t="s">
        <v>13</v>
      </c>
      <c r="L20" t="s">
        <v>12</v>
      </c>
      <c r="M20">
        <f>_xlfn.XLOOKUP(A20,Fourrier!A:A,Fourrier!E:E)</f>
        <v>8.8499999999999995E-2</v>
      </c>
      <c r="N20">
        <f>_xlfn.XLOOKUP(A20,Fourrier!A:A,Fourrier!F:F)</f>
        <v>1.0816060000000001</v>
      </c>
      <c r="O20">
        <f>_xlfn.XLOOKUP(A20,Fourrier!A:A,Fourrier!G:G)</f>
        <v>8.8499999999999995E-2</v>
      </c>
      <c r="P20">
        <f>_xlfn.XLOOKUP(A20,Fourrier!A:A,Fourrier!H:H)</f>
        <v>6.7093E-2</v>
      </c>
      <c r="Q20">
        <f>_xlfn.XLOOKUP(A20,Fourrier!A:A,Fourrier!I:I)</f>
        <v>4.5788138657746703E-2</v>
      </c>
      <c r="R20">
        <f>_xlfn.XLOOKUP(A20,Fourrier!A:A,Fourrier!J:J)</f>
        <v>5.4373541553166302E-2</v>
      </c>
      <c r="S20" t="str">
        <f>_xlfn.XLOOKUP(A20,Fourrier!A:A,Fourrier!K:K)</f>
        <v>put</v>
      </c>
      <c r="T20" t="s">
        <v>12</v>
      </c>
      <c r="U20" t="b">
        <f t="shared" si="0"/>
        <v>1</v>
      </c>
      <c r="V20">
        <f t="shared" si="1"/>
        <v>0</v>
      </c>
      <c r="W20">
        <f t="shared" si="1"/>
        <v>5908.8265234797764</v>
      </c>
    </row>
    <row r="21" spans="1:23" x14ac:dyDescent="0.35">
      <c r="A21" t="str">
        <f t="shared" si="2"/>
        <v>7Y70.0831.192405</v>
      </c>
      <c r="B21" s="1">
        <v>45807</v>
      </c>
      <c r="C21" t="s">
        <v>17</v>
      </c>
      <c r="D21">
        <v>7</v>
      </c>
      <c r="E21">
        <v>8.3000000000000004E-2</v>
      </c>
      <c r="F21">
        <v>1.1924049999999999</v>
      </c>
      <c r="G21">
        <v>8.3000000000000004E-2</v>
      </c>
      <c r="H21">
        <v>0.76192499999999996</v>
      </c>
      <c r="I21">
        <v>8.0121674458498895E-2</v>
      </c>
      <c r="J21">
        <v>0.62449325611001805</v>
      </c>
      <c r="K21" t="s">
        <v>11</v>
      </c>
      <c r="L21" t="s">
        <v>12</v>
      </c>
      <c r="M21">
        <f>_xlfn.XLOOKUP(A21,Fourrier!A:A,Fourrier!E:E)</f>
        <v>8.3000000000000004E-2</v>
      </c>
      <c r="N21">
        <f>_xlfn.XLOOKUP(A21,Fourrier!A:A,Fourrier!F:F)</f>
        <v>1.1924049999999999</v>
      </c>
      <c r="O21">
        <f>_xlfn.XLOOKUP(A21,Fourrier!A:A,Fourrier!G:G)</f>
        <v>8.3000000000000004E-2</v>
      </c>
      <c r="P21">
        <f>_xlfn.XLOOKUP(A21,Fourrier!A:A,Fourrier!H:H)</f>
        <v>9.9971000000000004E-2</v>
      </c>
      <c r="Q21">
        <f>_xlfn.XLOOKUP(A21,Fourrier!A:A,Fourrier!I:I)</f>
        <v>8.0121674458498895E-2</v>
      </c>
      <c r="R21">
        <f>_xlfn.XLOOKUP(A21,Fourrier!A:A,Fourrier!J:J)</f>
        <v>6.9560712936285102E-2</v>
      </c>
      <c r="S21" t="str">
        <f>_xlfn.XLOOKUP(A21,Fourrier!A:A,Fourrier!K:K)</f>
        <v>call</v>
      </c>
      <c r="T21" t="s">
        <v>12</v>
      </c>
      <c r="U21" t="b">
        <f t="shared" si="0"/>
        <v>1</v>
      </c>
      <c r="V21">
        <f t="shared" si="1"/>
        <v>0</v>
      </c>
      <c r="W21">
        <f t="shared" si="1"/>
        <v>5549.3254317373294</v>
      </c>
    </row>
    <row r="22" spans="1:23" x14ac:dyDescent="0.35">
      <c r="A22" t="str">
        <f t="shared" si="2"/>
        <v/>
      </c>
      <c r="B22" t="s">
        <v>18</v>
      </c>
      <c r="U22" t="b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24F7-9675-4E92-AA6D-267774B8C1A4}">
  <dimension ref="A2:L24"/>
  <sheetViews>
    <sheetView tabSelected="1" workbookViewId="0">
      <selection activeCell="H29" sqref="H29"/>
    </sheetView>
  </sheetViews>
  <sheetFormatPr defaultRowHeight="14.5" x14ac:dyDescent="0.35"/>
  <sheetData>
    <row r="2" spans="1:12" x14ac:dyDescent="0.35">
      <c r="B2" t="s">
        <v>19</v>
      </c>
    </row>
    <row r="3" spans="1:12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1:12" x14ac:dyDescent="0.35">
      <c r="A4" t="str">
        <f>C4&amp;D4&amp;G4&amp;F4</f>
        <v>3Y30.079151.253781</v>
      </c>
      <c r="B4" s="1">
        <v>45730</v>
      </c>
      <c r="C4" t="s">
        <v>14</v>
      </c>
      <c r="D4">
        <v>3</v>
      </c>
      <c r="E4">
        <v>7.9100000000000004E-2</v>
      </c>
      <c r="F4">
        <v>1.253781</v>
      </c>
      <c r="G4">
        <v>7.9149999999999998E-2</v>
      </c>
      <c r="H4">
        <v>0.128889</v>
      </c>
      <c r="I4">
        <v>2.12246222216648E-2</v>
      </c>
      <c r="J4">
        <v>4.38851770999963E-2</v>
      </c>
      <c r="K4" t="s">
        <v>11</v>
      </c>
      <c r="L4" t="s">
        <v>12</v>
      </c>
    </row>
    <row r="5" spans="1:12" x14ac:dyDescent="0.35">
      <c r="A5" t="str">
        <f t="shared" ref="A5:A24" si="0">C5&amp;D5&amp;G5&amp;F5</f>
        <v>3Y30.084851.051899</v>
      </c>
      <c r="B5" s="1">
        <v>45730</v>
      </c>
      <c r="C5" t="s">
        <v>14</v>
      </c>
      <c r="D5">
        <v>3</v>
      </c>
      <c r="E5">
        <v>8.4900000000000003E-2</v>
      </c>
      <c r="F5">
        <v>1.0518989999999999</v>
      </c>
      <c r="G5">
        <v>8.4849999999999995E-2</v>
      </c>
      <c r="H5">
        <v>2.7215E-2</v>
      </c>
      <c r="I5">
        <v>2.6304123119012399E-2</v>
      </c>
      <c r="J5">
        <v>3.36828528728583E-3</v>
      </c>
      <c r="K5" t="s">
        <v>13</v>
      </c>
      <c r="L5" t="s">
        <v>12</v>
      </c>
    </row>
    <row r="6" spans="1:12" x14ac:dyDescent="0.35">
      <c r="A6" t="str">
        <f t="shared" si="0"/>
        <v>3Y30.085651.38678</v>
      </c>
      <c r="B6" s="1">
        <v>45730</v>
      </c>
      <c r="C6" t="s">
        <v>14</v>
      </c>
      <c r="D6">
        <v>3</v>
      </c>
      <c r="E6">
        <v>8.5599999999999996E-2</v>
      </c>
      <c r="F6">
        <v>1.3867799999999999</v>
      </c>
      <c r="G6">
        <v>8.5650000000000004E-2</v>
      </c>
      <c r="H6">
        <v>0.16243099999999999</v>
      </c>
      <c r="I6">
        <v>7.2870166015430501E-3</v>
      </c>
      <c r="J6">
        <v>3.8566019908764501E-2</v>
      </c>
      <c r="K6" t="s">
        <v>11</v>
      </c>
      <c r="L6" t="s">
        <v>12</v>
      </c>
    </row>
    <row r="7" spans="1:12" x14ac:dyDescent="0.35">
      <c r="A7" t="str">
        <f t="shared" si="0"/>
        <v>3Y30.097150.938102</v>
      </c>
      <c r="B7" s="1">
        <v>45730</v>
      </c>
      <c r="C7" t="s">
        <v>14</v>
      </c>
      <c r="D7">
        <v>3</v>
      </c>
      <c r="E7">
        <v>9.7199999999999995E-2</v>
      </c>
      <c r="F7">
        <v>0.93810199999999999</v>
      </c>
      <c r="G7">
        <v>9.715E-2</v>
      </c>
      <c r="H7">
        <v>0.01</v>
      </c>
      <c r="I7">
        <v>9.4460013583244993E-3</v>
      </c>
      <c r="J7" s="2">
        <v>1E-8</v>
      </c>
      <c r="K7" t="s">
        <v>13</v>
      </c>
      <c r="L7" t="s">
        <v>12</v>
      </c>
    </row>
    <row r="8" spans="1:12" x14ac:dyDescent="0.35">
      <c r="A8" t="str">
        <f t="shared" si="0"/>
        <v>3Y30.07841.140376</v>
      </c>
      <c r="B8" s="1">
        <v>45730</v>
      </c>
      <c r="C8" t="s">
        <v>14</v>
      </c>
      <c r="D8">
        <v>3</v>
      </c>
      <c r="E8">
        <v>7.8399999999999997E-2</v>
      </c>
      <c r="F8">
        <v>1.1403760000000001</v>
      </c>
      <c r="G8">
        <v>7.8399999999999997E-2</v>
      </c>
      <c r="H8">
        <v>8.8424000000000003E-2</v>
      </c>
      <c r="I8">
        <v>5.5219949274180197E-2</v>
      </c>
      <c r="J8">
        <v>4.92995144058367E-2</v>
      </c>
      <c r="K8" t="s">
        <v>11</v>
      </c>
      <c r="L8" t="s">
        <v>12</v>
      </c>
    </row>
    <row r="9" spans="1:12" x14ac:dyDescent="0.35">
      <c r="A9" t="str">
        <f t="shared" si="0"/>
        <v>4Y40.081651.290404</v>
      </c>
      <c r="B9" s="1">
        <v>45730</v>
      </c>
      <c r="C9" t="s">
        <v>15</v>
      </c>
      <c r="D9">
        <v>4</v>
      </c>
      <c r="E9">
        <v>8.1699999999999995E-2</v>
      </c>
      <c r="F9">
        <v>1.2904040000000001</v>
      </c>
      <c r="G9">
        <v>8.165E-2</v>
      </c>
      <c r="H9">
        <v>0.120722</v>
      </c>
      <c r="I9">
        <v>2.51626898656062E-2</v>
      </c>
      <c r="J9">
        <v>4.1987204191680297E-2</v>
      </c>
      <c r="K9" t="s">
        <v>11</v>
      </c>
      <c r="L9" t="s">
        <v>12</v>
      </c>
    </row>
    <row r="10" spans="1:12" x14ac:dyDescent="0.35">
      <c r="A10" t="str">
        <f t="shared" si="0"/>
        <v>4Y40.086751.055212</v>
      </c>
      <c r="B10" s="1">
        <v>45730</v>
      </c>
      <c r="C10" t="s">
        <v>15</v>
      </c>
      <c r="D10">
        <v>4</v>
      </c>
      <c r="E10">
        <v>8.6699999999999999E-2</v>
      </c>
      <c r="F10">
        <v>1.055212</v>
      </c>
      <c r="G10">
        <v>8.6749999999999994E-2</v>
      </c>
      <c r="H10">
        <v>2.6768E-2</v>
      </c>
      <c r="I10">
        <v>3.1788777478135903E-2</v>
      </c>
      <c r="J10">
        <v>4.9792110879078796E-3</v>
      </c>
      <c r="K10" t="s">
        <v>13</v>
      </c>
      <c r="L10" t="s">
        <v>12</v>
      </c>
    </row>
    <row r="11" spans="1:12" x14ac:dyDescent="0.35">
      <c r="A11" t="str">
        <f t="shared" si="0"/>
        <v>4Y40.08891.458946</v>
      </c>
      <c r="B11" s="1">
        <v>45730</v>
      </c>
      <c r="C11" t="s">
        <v>15</v>
      </c>
      <c r="D11">
        <v>4</v>
      </c>
      <c r="E11">
        <v>8.8900000000000007E-2</v>
      </c>
      <c r="F11">
        <v>1.4589460000000001</v>
      </c>
      <c r="G11">
        <v>8.8900000000000007E-2</v>
      </c>
      <c r="H11">
        <v>0.153698</v>
      </c>
      <c r="I11">
        <v>8.6747591964472896E-3</v>
      </c>
      <c r="J11">
        <v>3.5789500432682801E-2</v>
      </c>
      <c r="K11" t="s">
        <v>11</v>
      </c>
      <c r="L11" t="s">
        <v>12</v>
      </c>
    </row>
    <row r="12" spans="1:12" x14ac:dyDescent="0.35">
      <c r="A12" t="str">
        <f t="shared" si="0"/>
        <v>4Y40.09930.921907</v>
      </c>
      <c r="B12" s="1">
        <v>45730</v>
      </c>
      <c r="C12" t="s">
        <v>15</v>
      </c>
      <c r="D12">
        <v>4</v>
      </c>
      <c r="E12">
        <v>9.9299999999999999E-2</v>
      </c>
      <c r="F12">
        <v>0.92190700000000003</v>
      </c>
      <c r="G12">
        <v>9.9299999999999999E-2</v>
      </c>
      <c r="H12">
        <v>0.01</v>
      </c>
      <c r="I12">
        <v>1.1365009890059501E-2</v>
      </c>
      <c r="J12" s="2">
        <v>1E-8</v>
      </c>
      <c r="K12" t="s">
        <v>13</v>
      </c>
      <c r="L12" t="s">
        <v>12</v>
      </c>
    </row>
    <row r="13" spans="1:12" x14ac:dyDescent="0.35">
      <c r="A13" t="str">
        <f t="shared" si="0"/>
        <v>4Y40.08051.153994</v>
      </c>
      <c r="B13" s="1">
        <v>45730</v>
      </c>
      <c r="C13" t="s">
        <v>15</v>
      </c>
      <c r="D13">
        <v>4</v>
      </c>
      <c r="E13">
        <v>8.0500000000000002E-2</v>
      </c>
      <c r="F13">
        <v>1.153994</v>
      </c>
      <c r="G13">
        <v>8.0500000000000002E-2</v>
      </c>
      <c r="H13">
        <v>8.1560999999999995E-2</v>
      </c>
      <c r="I13">
        <v>6.3829123712797503E-2</v>
      </c>
      <c r="J13">
        <v>4.8174388377929603E-2</v>
      </c>
      <c r="K13" t="s">
        <v>11</v>
      </c>
      <c r="L13" t="s">
        <v>12</v>
      </c>
    </row>
    <row r="14" spans="1:12" x14ac:dyDescent="0.35">
      <c r="A14" t="str">
        <f t="shared" si="0"/>
        <v>5Y50.082951.322376</v>
      </c>
      <c r="B14" s="1">
        <v>45730</v>
      </c>
      <c r="C14" t="s">
        <v>16</v>
      </c>
      <c r="D14">
        <v>5</v>
      </c>
      <c r="E14">
        <v>8.2900000000000001E-2</v>
      </c>
      <c r="F14">
        <v>1.322376</v>
      </c>
      <c r="G14">
        <v>8.2949999999999996E-2</v>
      </c>
      <c r="H14">
        <v>0.14611399999999999</v>
      </c>
      <c r="I14">
        <v>2.8515367579750501E-2</v>
      </c>
      <c r="J14">
        <v>6.4702838902372301E-2</v>
      </c>
      <c r="K14" t="s">
        <v>11</v>
      </c>
      <c r="L14" t="s">
        <v>12</v>
      </c>
    </row>
    <row r="15" spans="1:12" x14ac:dyDescent="0.35">
      <c r="A15" t="str">
        <f t="shared" si="0"/>
        <v>5Y50.088051.061389</v>
      </c>
      <c r="B15" s="1">
        <v>45730</v>
      </c>
      <c r="C15" t="s">
        <v>16</v>
      </c>
      <c r="D15">
        <v>5</v>
      </c>
      <c r="E15">
        <v>8.7999999999999995E-2</v>
      </c>
      <c r="F15">
        <v>1.0613889999999999</v>
      </c>
      <c r="G15">
        <v>8.8050000000000003E-2</v>
      </c>
      <c r="H15">
        <v>3.0707000000000002E-2</v>
      </c>
      <c r="I15">
        <v>3.6899990246605299E-2</v>
      </c>
      <c r="J15">
        <v>1.02098121793183E-2</v>
      </c>
      <c r="K15" t="s">
        <v>13</v>
      </c>
      <c r="L15" t="s">
        <v>12</v>
      </c>
    </row>
    <row r="16" spans="1:12" x14ac:dyDescent="0.35">
      <c r="A16" t="str">
        <f t="shared" si="0"/>
        <v>5Y50.09041.522631</v>
      </c>
      <c r="B16" s="1">
        <v>45730</v>
      </c>
      <c r="C16" t="s">
        <v>16</v>
      </c>
      <c r="D16">
        <v>5</v>
      </c>
      <c r="E16">
        <v>9.0399999999999994E-2</v>
      </c>
      <c r="F16">
        <v>1.5226310000000001</v>
      </c>
      <c r="G16">
        <v>9.0399999999999994E-2</v>
      </c>
      <c r="H16">
        <v>0.18008299999999999</v>
      </c>
      <c r="I16">
        <v>9.8189263600577895E-3</v>
      </c>
      <c r="J16">
        <v>5.6219185201049099E-2</v>
      </c>
      <c r="K16" t="s">
        <v>11</v>
      </c>
      <c r="L16" t="s">
        <v>12</v>
      </c>
    </row>
    <row r="17" spans="1:12" x14ac:dyDescent="0.35">
      <c r="A17" t="str">
        <f t="shared" si="0"/>
        <v>5Y50.10060.910865</v>
      </c>
      <c r="B17" s="1">
        <v>45730</v>
      </c>
      <c r="C17" t="s">
        <v>16</v>
      </c>
      <c r="D17">
        <v>5</v>
      </c>
      <c r="E17">
        <v>0.10059999999999999</v>
      </c>
      <c r="F17">
        <v>0.91086500000000004</v>
      </c>
      <c r="G17">
        <v>0.10059999999999999</v>
      </c>
      <c r="H17">
        <v>0.01</v>
      </c>
      <c r="I17">
        <v>1.31070324680417E-2</v>
      </c>
      <c r="J17" s="2">
        <v>1E-8</v>
      </c>
      <c r="K17" t="s">
        <v>13</v>
      </c>
      <c r="L17" t="s">
        <v>12</v>
      </c>
    </row>
    <row r="18" spans="1:12" x14ac:dyDescent="0.35">
      <c r="A18" t="str">
        <f t="shared" si="0"/>
        <v>5Y50.08171.167101</v>
      </c>
      <c r="B18" s="1">
        <v>45730</v>
      </c>
      <c r="C18" t="s">
        <v>16</v>
      </c>
      <c r="D18">
        <v>5</v>
      </c>
      <c r="E18">
        <v>8.1699999999999995E-2</v>
      </c>
      <c r="F18">
        <v>1.1671009999999999</v>
      </c>
      <c r="G18">
        <v>8.1699999999999995E-2</v>
      </c>
      <c r="H18">
        <v>7.7724000000000001E-2</v>
      </c>
      <c r="I18">
        <v>7.0517283434861397E-2</v>
      </c>
      <c r="J18">
        <v>4.7107506382178102E-2</v>
      </c>
      <c r="K18" t="s">
        <v>11</v>
      </c>
      <c r="L18" t="s">
        <v>12</v>
      </c>
    </row>
    <row r="19" spans="1:12" x14ac:dyDescent="0.35">
      <c r="A19" t="str">
        <f t="shared" si="0"/>
        <v>7Y70.08391.375826</v>
      </c>
      <c r="B19" s="1">
        <v>45730</v>
      </c>
      <c r="C19" t="s">
        <v>17</v>
      </c>
      <c r="D19">
        <v>7</v>
      </c>
      <c r="E19">
        <v>8.3900000000000002E-2</v>
      </c>
      <c r="F19">
        <v>1.375826</v>
      </c>
      <c r="G19">
        <v>8.3900000000000002E-2</v>
      </c>
      <c r="H19">
        <v>0.13489999999999999</v>
      </c>
      <c r="I19">
        <v>3.4140679661481203E-2</v>
      </c>
      <c r="J19">
        <v>6.08125900736032E-2</v>
      </c>
      <c r="K19" t="s">
        <v>11</v>
      </c>
      <c r="L19" t="s">
        <v>12</v>
      </c>
    </row>
    <row r="20" spans="1:12" x14ac:dyDescent="0.35">
      <c r="A20" t="str">
        <f t="shared" si="0"/>
        <v>7Y70.08851.081606</v>
      </c>
      <c r="B20" s="1">
        <v>45730</v>
      </c>
      <c r="C20" t="s">
        <v>17</v>
      </c>
      <c r="D20">
        <v>7</v>
      </c>
      <c r="E20">
        <v>8.8499999999999995E-2</v>
      </c>
      <c r="F20">
        <v>1.0816060000000001</v>
      </c>
      <c r="G20">
        <v>8.8499999999999995E-2</v>
      </c>
      <c r="H20">
        <v>6.7093E-2</v>
      </c>
      <c r="I20">
        <v>4.5788138657746703E-2</v>
      </c>
      <c r="J20">
        <v>5.4373541553166302E-2</v>
      </c>
      <c r="K20" t="s">
        <v>13</v>
      </c>
      <c r="L20" t="s">
        <v>12</v>
      </c>
    </row>
    <row r="21" spans="1:12" x14ac:dyDescent="0.35">
      <c r="A21" t="str">
        <f t="shared" si="0"/>
        <v>7Y70.09051.628255</v>
      </c>
      <c r="B21" s="1">
        <v>45730</v>
      </c>
      <c r="C21" t="s">
        <v>17</v>
      </c>
      <c r="D21">
        <v>7</v>
      </c>
      <c r="E21">
        <v>9.0499999999999997E-2</v>
      </c>
      <c r="F21">
        <v>1.628255</v>
      </c>
      <c r="G21">
        <v>9.0499999999999997E-2</v>
      </c>
      <c r="H21">
        <v>0.16656099999999999</v>
      </c>
      <c r="I21">
        <v>1.1588844995531001E-2</v>
      </c>
      <c r="J21">
        <v>5.12807215483072E-2</v>
      </c>
      <c r="K21" t="s">
        <v>11</v>
      </c>
      <c r="L21" t="s">
        <v>12</v>
      </c>
    </row>
    <row r="22" spans="1:12" x14ac:dyDescent="0.35">
      <c r="A22" t="str">
        <f t="shared" si="0"/>
        <v>7Y70.09850.906698</v>
      </c>
      <c r="B22" s="1">
        <v>45730</v>
      </c>
      <c r="C22" t="s">
        <v>17</v>
      </c>
      <c r="D22">
        <v>7</v>
      </c>
      <c r="E22">
        <v>9.8500000000000004E-2</v>
      </c>
      <c r="F22">
        <v>0.906698</v>
      </c>
      <c r="G22">
        <v>9.8500000000000004E-2</v>
      </c>
      <c r="H22">
        <v>0.01</v>
      </c>
      <c r="I22">
        <v>1.56417041716191E-2</v>
      </c>
      <c r="J22" s="2">
        <v>1E-8</v>
      </c>
      <c r="K22" t="s">
        <v>13</v>
      </c>
      <c r="L22" t="s">
        <v>12</v>
      </c>
    </row>
    <row r="23" spans="1:12" x14ac:dyDescent="0.35">
      <c r="A23" t="str">
        <f t="shared" si="0"/>
        <v>7Y70.0831.192405</v>
      </c>
      <c r="B23" s="1">
        <v>45730</v>
      </c>
      <c r="C23" t="s">
        <v>17</v>
      </c>
      <c r="D23">
        <v>7</v>
      </c>
      <c r="E23">
        <v>8.3000000000000004E-2</v>
      </c>
      <c r="F23">
        <v>1.1924049999999999</v>
      </c>
      <c r="G23">
        <v>8.3000000000000004E-2</v>
      </c>
      <c r="H23">
        <v>9.9971000000000004E-2</v>
      </c>
      <c r="I23">
        <v>8.0121674458498895E-2</v>
      </c>
      <c r="J23">
        <v>6.9560712936285102E-2</v>
      </c>
      <c r="K23" t="s">
        <v>11</v>
      </c>
      <c r="L23" t="s">
        <v>12</v>
      </c>
    </row>
    <row r="24" spans="1:12" x14ac:dyDescent="0.35">
      <c r="A24" t="str">
        <f t="shared" si="0"/>
        <v/>
      </c>
      <c r="B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</vt:lpstr>
      <vt:lpstr>Fourrier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</dc:creator>
  <cp:lastModifiedBy>Deborah</cp:lastModifiedBy>
  <dcterms:created xsi:type="dcterms:W3CDTF">2025-07-27T21:26:56Z</dcterms:created>
  <dcterms:modified xsi:type="dcterms:W3CDTF">2025-07-27T21:37:21Z</dcterms:modified>
</cp:coreProperties>
</file>